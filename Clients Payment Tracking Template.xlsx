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8C4514D1-CF56-48ED-84AE-F45418AD18D1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Client_Payments" sheetId="1" r:id="rId1"/>
    <sheet name="Client Payments Dashbo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E21" i="2"/>
  <c r="I5" i="1"/>
  <c r="I4" i="1"/>
  <c r="I3" i="1"/>
  <c r="I2" i="1"/>
  <c r="I10" i="1"/>
  <c r="B6" i="2"/>
  <c r="B2" i="2" a="1"/>
  <c r="B2" i="2"/>
  <c r="I290" i="1"/>
  <c r="I291" i="1"/>
  <c r="I292" i="1"/>
  <c r="I293" i="1"/>
  <c r="I294" i="1"/>
  <c r="I295" i="1"/>
  <c r="I296" i="1"/>
  <c r="I297" i="1"/>
  <c r="I298" i="1"/>
  <c r="I299" i="1"/>
  <c r="I300" i="1"/>
  <c r="I301" i="1"/>
  <c r="I6" i="1"/>
  <c r="I7" i="1"/>
  <c r="I8" i="1"/>
  <c r="I9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B7" i="2"/>
  <c r="B4" i="2"/>
  <c r="B11" i="2" l="1"/>
  <c r="B19" i="2"/>
  <c r="B13" i="2"/>
  <c r="B12" i="2"/>
  <c r="B14" i="2"/>
  <c r="B15" i="2"/>
  <c r="B16" i="2"/>
  <c r="B17" i="2"/>
  <c r="B18" i="2"/>
  <c r="B20" i="2"/>
  <c r="B21" i="2"/>
  <c r="B22" i="2"/>
  <c r="B2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<sst xmlns="http://schemas.openxmlformats.org/spreadsheetml/2006/main" count="19" uniqueCount="17">
  <si>
    <t>Date</t>
  </si>
  <si>
    <t>Client Name</t>
  </si>
  <si>
    <t>Client Type</t>
  </si>
  <si>
    <t>Payment Type</t>
  </si>
  <si>
    <t>Amount</t>
  </si>
  <si>
    <t>Subscription Plan (if online)</t>
  </si>
  <si>
    <t>Package (if in-person)</t>
  </si>
  <si>
    <t>Notes</t>
  </si>
  <si>
    <t>Month</t>
  </si>
  <si>
    <t>Total Clients:</t>
  </si>
  <si>
    <t>Total Income:</t>
  </si>
  <si>
    <t>Online Income</t>
  </si>
  <si>
    <t>In-Person Income</t>
  </si>
  <si>
    <t>Income</t>
  </si>
  <si>
    <t>Total Income</t>
  </si>
  <si>
    <t>Online</t>
  </si>
  <si>
    <t>In-Person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</si>
</sst>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b/>
      <sz val="24"/>
      <color theme="2" tint="-0.74999237037263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4" fillId="2" borderId="0" xfId="0" applyFont="1" applyFill="1"/>
    <xf numFmtId="0" fontId="0" fillId="2" borderId="0" xfId="0" applyFill="1" applyAlignment="1">
      <alignment wrapText="1"/>
    </xf>
    <xf numFmtId="0" fontId="1" fillId="2" borderId="0" xfId="0" quotePrefix="1" applyFont="1" applyFill="1" applyAlignment="1">
      <alignment wrapText="1"/>
    </xf>
    <xf numFmtId="17" fontId="0" fillId="2" borderId="0" xfId="0" applyNumberFormat="1" applyFill="1"/>
    <xf numFmtId="0" fontId="2" fillId="2" borderId="0" xfId="0" applyFont="1" applyFill="1" applyAlignment="1">
      <alignment wrapText="1"/>
    </xf>
    <xf numFmtId="0" fontId="3" fillId="2" borderId="0" xfId="0" applyFont="1" applyFill="1"/>
    <xf numFmtId="0" fontId="1" fillId="2" borderId="0" xfId="0" applyFont="1" applyFill="1"/>
    <xf numFmtId="164" fontId="2" fillId="0" borderId="0" xfId="0" applyNumberFormat="1" applyFont="1"/>
    <xf numFmtId="165" fontId="2" fillId="0" borderId="0" xfId="0" applyNumberFormat="1" applyFont="1"/>
    <xf numFmtId="165" fontId="0" fillId="2" borderId="0" xfId="0" applyNumberFormat="1" applyFill="1" applyAlignment="1">
      <alignment wrapText="1"/>
    </xf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48B45"/>
      <color rgb="FFC445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Breakdown by Client Type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'Client Payments Dashboard'!$E$19</c:f>
              <c:strCache>
                <c:ptCount val="1"/>
                <c:pt idx="0">
                  <c:v>Total Income</c:v>
                </c:pt>
              </c:strCache>
            </c:strRef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rgbClr val="92D05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316-4810-B071-8D65921FF0F0}"/>
              </c:ext>
            </c:extLst>
          </c:dPt>
          <c:dPt>
            <c:idx val="1"/>
            <c:bubble3D val="0"/>
            <c:spPr>
              <a:solidFill>
                <a:srgbClr val="C445AD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16-4810-B071-8D65921FF0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'Client Payments Dashboard'!$D$20:$D$21</c:f>
              <c:strCache>
                <c:ptCount val="2"/>
                <c:pt idx="0">
                  <c:v>Online</c:v>
                </c:pt>
                <c:pt idx="1">
                  <c:v>In-Person</c:v>
                </c:pt>
              </c:strCache>
            </c:strRef>
          </c:cat>
          <c:val>
            <c:numRef>
              <c:f>'Client Payments Dashboard'!$E$20:$E$21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6-4810-B071-8D65921FF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525252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Income Overview</a:t>
            </a:r>
          </a:p>
        </c:rich>
      </c:tx>
      <c:layout>
        <c:manualLayout>
          <c:xMode val="edge"/>
          <c:yMode val="edge"/>
          <c:x val="0.2802829567834038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'Client Payments Dashboard'!$B$10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  <a:effectLst/>
          </c:spPr>
          <c:invertIfNegative val="0"/>
          <c:cat>
            <c:numRef>
              <c:f>'Client Payments Dashboard'!$A$11:$A$22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'Client Payments Dashboard'!$B$11:$B$22</c:f>
              <c:numCache>
                <c:formatCode>"$"#,##0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8-4474-81F9-87F9BE754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12072"/>
        <c:axId val="156314120"/>
      </c:barChart>
      <c:dateAx>
        <c:axId val="1563120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14120"/>
        <c:crosses val="autoZero"/>
        <c:auto val="1"/>
        <c:lblOffset val="100"/>
        <c:baseTimeUnit val="months"/>
      </c:dateAx>
      <c:valAx>
        <c:axId val="156314120"/>
        <c:scaling>
          <c:orientation val="minMax"/>
        </c:scaling>
        <c:delete val="0"/>
        <c:axPos val="l"/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1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525252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2190750</xdr:colOff>
      <xdr:row>0</xdr:row>
      <xdr:rowOff>0</xdr:rowOff>
    </xdr:from>
    <xdr:to>
      <xdr:col>5</xdr:col>
      <xdr:colOff>190500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A3DE71-AEBA-9EF4-EFF9-6D9549984642}"/>
            </a:ext>
            <a:ext uri="{147F2762-F138-4A5C-976F-8EAC2B608ADB}">
              <a16:predDERef xmlns:a16="http://schemas.microsoft.com/office/drawing/2014/main" pred="{C9CE1F98-0667-85D8-5C48-D9B575FA3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247650</xdr:colOff>
      <xdr:row>0</xdr:row>
      <xdr:rowOff>0</xdr:rowOff>
    </xdr:from>
    <xdr:to>
      <xdr:col>12</xdr:col>
      <xdr:colOff>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CE1F98-0667-85D8-5C48-D9B575FA3357}"/>
            </a:ext>
            <a:ext uri="{147F2762-F138-4A5C-976F-8EAC2B608ADB}">
              <a16:predDERef xmlns:a16="http://schemas.microsoft.com/office/drawing/2014/main" pred="{63A3DE71-AEBA-9EF4-EFF9-6D9549984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6"/>
  <sheetViews>
    <sheetView tabSelected="1" workbookViewId="0">
      <selection activeCell="B10" sqref="B10"/>
    </sheetView>
  </sheetViews>
  <sheetFormatPr defaultRowHeight="15"/>
  <cols>
    <col min="1" max="1" width="11.5703125" style="2" bestFit="1" customWidth="1"/>
    <col min="2" max="2" width="11.5703125" bestFit="1" customWidth="1"/>
    <col min="3" max="3" width="10.5703125" bestFit="1" customWidth="1"/>
    <col min="4" max="4" width="13.28515625" bestFit="1" customWidth="1"/>
    <col min="5" max="5" width="10.5703125" style="3" bestFit="1" customWidth="1"/>
    <col min="6" max="6" width="24.7109375" bestFit="1" customWidth="1"/>
    <col min="7" max="7" width="19.7109375" bestFit="1" customWidth="1"/>
    <col min="9" max="9" width="33.28515625" bestFit="1" customWidth="1"/>
  </cols>
  <sheetData>
    <row r="1" spans="1:9">
      <c r="A1" s="14" t="s">
        <v>0</v>
      </c>
      <c r="B1" s="4" t="s">
        <v>1</v>
      </c>
      <c r="C1" s="4" t="s">
        <v>2</v>
      </c>
      <c r="D1" s="4" t="s">
        <v>3</v>
      </c>
      <c r="E1" s="15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I2" s="1" t="str">
        <f>IF(A2="","",TEXT(A2,"MMMM YYYY"))</f>
        <v/>
      </c>
    </row>
    <row r="3" spans="1:9">
      <c r="I3" s="1" t="str">
        <f>IF(A3="","",TEXT(A3,"MMMM YYYY"))</f>
        <v/>
      </c>
    </row>
    <row r="4" spans="1:9">
      <c r="I4" s="1" t="str">
        <f>IF(A4="","",TEXT(A4,"MMMM YYYY"))</f>
        <v/>
      </c>
    </row>
    <row r="5" spans="1:9">
      <c r="I5" s="1" t="str">
        <f>IF(A5="","",TEXT(A5,"MMMM YYYY"))</f>
        <v/>
      </c>
    </row>
    <row r="6" spans="1:9">
      <c r="I6" s="1" t="str">
        <f t="shared" ref="I3:I66" si="0">IF(A6="","",TEXT(A6,"MMMM YYYY"))</f>
        <v/>
      </c>
    </row>
    <row r="7" spans="1:9">
      <c r="I7" s="1" t="str">
        <f t="shared" si="0"/>
        <v/>
      </c>
    </row>
    <row r="8" spans="1:9">
      <c r="I8" s="1" t="str">
        <f t="shared" si="0"/>
        <v/>
      </c>
    </row>
    <row r="9" spans="1:9">
      <c r="I9" s="1" t="str">
        <f t="shared" si="0"/>
        <v/>
      </c>
    </row>
    <row r="10" spans="1:9">
      <c r="I10" s="1" t="str">
        <f>IF(A10="","",TEXT(A10,"MMMM YYYY"))</f>
        <v/>
      </c>
    </row>
    <row r="11" spans="1:9">
      <c r="I11" s="1" t="str">
        <f t="shared" si="0"/>
        <v/>
      </c>
    </row>
    <row r="12" spans="1:9">
      <c r="I12" s="1" t="str">
        <f t="shared" si="0"/>
        <v/>
      </c>
    </row>
    <row r="13" spans="1:9">
      <c r="I13" s="1" t="str">
        <f t="shared" si="0"/>
        <v/>
      </c>
    </row>
    <row r="14" spans="1:9">
      <c r="I14" s="1" t="str">
        <f t="shared" si="0"/>
        <v/>
      </c>
    </row>
    <row r="15" spans="1:9">
      <c r="I15" s="1" t="str">
        <f t="shared" si="0"/>
        <v/>
      </c>
    </row>
    <row r="16" spans="1:9">
      <c r="I16" s="1" t="str">
        <f t="shared" si="0"/>
        <v/>
      </c>
    </row>
    <row r="17" spans="9:9">
      <c r="I17" s="1" t="str">
        <f t="shared" si="0"/>
        <v/>
      </c>
    </row>
    <row r="18" spans="9:9">
      <c r="I18" s="1" t="str">
        <f t="shared" si="0"/>
        <v/>
      </c>
    </row>
    <row r="19" spans="9:9">
      <c r="I19" s="1" t="str">
        <f t="shared" si="0"/>
        <v/>
      </c>
    </row>
    <row r="20" spans="9:9">
      <c r="I20" s="1" t="str">
        <f t="shared" si="0"/>
        <v/>
      </c>
    </row>
    <row r="21" spans="9:9">
      <c r="I21" s="1" t="str">
        <f t="shared" si="0"/>
        <v/>
      </c>
    </row>
    <row r="22" spans="9:9">
      <c r="I22" s="1" t="str">
        <f t="shared" si="0"/>
        <v/>
      </c>
    </row>
    <row r="23" spans="9:9">
      <c r="I23" s="1" t="str">
        <f t="shared" si="0"/>
        <v/>
      </c>
    </row>
    <row r="24" spans="9:9">
      <c r="I24" s="1" t="str">
        <f t="shared" si="0"/>
        <v/>
      </c>
    </row>
    <row r="25" spans="9:9">
      <c r="I25" s="1" t="str">
        <f t="shared" si="0"/>
        <v/>
      </c>
    </row>
    <row r="26" spans="9:9">
      <c r="I26" s="1" t="str">
        <f t="shared" si="0"/>
        <v/>
      </c>
    </row>
    <row r="27" spans="9:9">
      <c r="I27" s="1" t="str">
        <f t="shared" si="0"/>
        <v/>
      </c>
    </row>
    <row r="28" spans="9:9">
      <c r="I28" s="1" t="str">
        <f t="shared" si="0"/>
        <v/>
      </c>
    </row>
    <row r="29" spans="9:9">
      <c r="I29" s="1" t="str">
        <f t="shared" si="0"/>
        <v/>
      </c>
    </row>
    <row r="30" spans="9:9">
      <c r="I30" s="1" t="str">
        <f t="shared" si="0"/>
        <v/>
      </c>
    </row>
    <row r="31" spans="9:9">
      <c r="I31" s="1" t="str">
        <f t="shared" si="0"/>
        <v/>
      </c>
    </row>
    <row r="32" spans="9:9">
      <c r="I32" s="1" t="str">
        <f t="shared" si="0"/>
        <v/>
      </c>
    </row>
    <row r="33" spans="9:9">
      <c r="I33" s="1" t="str">
        <f t="shared" si="0"/>
        <v/>
      </c>
    </row>
    <row r="34" spans="9:9">
      <c r="I34" s="1" t="str">
        <f t="shared" si="0"/>
        <v/>
      </c>
    </row>
    <row r="35" spans="9:9">
      <c r="I35" s="1" t="str">
        <f t="shared" si="0"/>
        <v/>
      </c>
    </row>
    <row r="36" spans="9:9">
      <c r="I36" s="1" t="str">
        <f t="shared" si="0"/>
        <v/>
      </c>
    </row>
    <row r="37" spans="9:9">
      <c r="I37" s="1" t="str">
        <f t="shared" si="0"/>
        <v/>
      </c>
    </row>
    <row r="38" spans="9:9">
      <c r="I38" s="1" t="str">
        <f t="shared" si="0"/>
        <v/>
      </c>
    </row>
    <row r="39" spans="9:9">
      <c r="I39" s="1" t="str">
        <f t="shared" si="0"/>
        <v/>
      </c>
    </row>
    <row r="40" spans="9:9">
      <c r="I40" s="1" t="str">
        <f t="shared" si="0"/>
        <v/>
      </c>
    </row>
    <row r="41" spans="9:9">
      <c r="I41" s="1" t="str">
        <f t="shared" si="0"/>
        <v/>
      </c>
    </row>
    <row r="42" spans="9:9">
      <c r="I42" s="1" t="str">
        <f t="shared" si="0"/>
        <v/>
      </c>
    </row>
    <row r="43" spans="9:9">
      <c r="I43" s="1" t="str">
        <f t="shared" si="0"/>
        <v/>
      </c>
    </row>
    <row r="44" spans="9:9">
      <c r="I44" s="1" t="str">
        <f t="shared" si="0"/>
        <v/>
      </c>
    </row>
    <row r="45" spans="9:9">
      <c r="I45" s="1" t="str">
        <f t="shared" si="0"/>
        <v/>
      </c>
    </row>
    <row r="46" spans="9:9">
      <c r="I46" s="1" t="str">
        <f t="shared" si="0"/>
        <v/>
      </c>
    </row>
    <row r="47" spans="9:9">
      <c r="I47" s="1" t="str">
        <f t="shared" si="0"/>
        <v/>
      </c>
    </row>
    <row r="48" spans="9:9">
      <c r="I48" s="1" t="str">
        <f t="shared" si="0"/>
        <v/>
      </c>
    </row>
    <row r="49" spans="9:9">
      <c r="I49" s="1" t="str">
        <f t="shared" si="0"/>
        <v/>
      </c>
    </row>
    <row r="50" spans="9:9">
      <c r="I50" s="1" t="str">
        <f t="shared" si="0"/>
        <v/>
      </c>
    </row>
    <row r="51" spans="9:9">
      <c r="I51" s="1" t="str">
        <f t="shared" si="0"/>
        <v/>
      </c>
    </row>
    <row r="52" spans="9:9">
      <c r="I52" s="1" t="str">
        <f t="shared" si="0"/>
        <v/>
      </c>
    </row>
    <row r="53" spans="9:9">
      <c r="I53" s="1" t="str">
        <f t="shared" si="0"/>
        <v/>
      </c>
    </row>
    <row r="54" spans="9:9">
      <c r="I54" s="1" t="str">
        <f t="shared" si="0"/>
        <v/>
      </c>
    </row>
    <row r="55" spans="9:9">
      <c r="I55" s="1" t="str">
        <f t="shared" si="0"/>
        <v/>
      </c>
    </row>
    <row r="56" spans="9:9">
      <c r="I56" s="1" t="str">
        <f t="shared" si="0"/>
        <v/>
      </c>
    </row>
    <row r="57" spans="9:9">
      <c r="I57" s="1" t="str">
        <f t="shared" si="0"/>
        <v/>
      </c>
    </row>
    <row r="58" spans="9:9">
      <c r="I58" s="1" t="str">
        <f t="shared" si="0"/>
        <v/>
      </c>
    </row>
    <row r="59" spans="9:9">
      <c r="I59" s="1" t="str">
        <f t="shared" si="0"/>
        <v/>
      </c>
    </row>
    <row r="60" spans="9:9">
      <c r="I60" s="1" t="str">
        <f t="shared" si="0"/>
        <v/>
      </c>
    </row>
    <row r="61" spans="9:9">
      <c r="I61" s="1" t="str">
        <f t="shared" si="0"/>
        <v/>
      </c>
    </row>
    <row r="62" spans="9:9">
      <c r="I62" s="1" t="str">
        <f t="shared" si="0"/>
        <v/>
      </c>
    </row>
    <row r="63" spans="9:9">
      <c r="I63" s="1" t="str">
        <f t="shared" si="0"/>
        <v/>
      </c>
    </row>
    <row r="64" spans="9:9">
      <c r="I64" s="1" t="str">
        <f t="shared" si="0"/>
        <v/>
      </c>
    </row>
    <row r="65" spans="9:9">
      <c r="I65" s="1" t="str">
        <f t="shared" si="0"/>
        <v/>
      </c>
    </row>
    <row r="66" spans="9:9">
      <c r="I66" s="1" t="str">
        <f t="shared" si="0"/>
        <v/>
      </c>
    </row>
    <row r="67" spans="9:9">
      <c r="I67" s="1" t="str">
        <f t="shared" ref="I67:I130" si="1">IF(A67="","",TEXT(A67,"MMMM YYYY"))</f>
        <v/>
      </c>
    </row>
    <row r="68" spans="9:9">
      <c r="I68" s="1" t="str">
        <f t="shared" si="1"/>
        <v/>
      </c>
    </row>
    <row r="69" spans="9:9">
      <c r="I69" s="1" t="str">
        <f t="shared" si="1"/>
        <v/>
      </c>
    </row>
    <row r="70" spans="9:9">
      <c r="I70" s="1" t="str">
        <f t="shared" si="1"/>
        <v/>
      </c>
    </row>
    <row r="71" spans="9:9">
      <c r="I71" s="1" t="str">
        <f t="shared" si="1"/>
        <v/>
      </c>
    </row>
    <row r="72" spans="9:9">
      <c r="I72" s="1" t="str">
        <f t="shared" si="1"/>
        <v/>
      </c>
    </row>
    <row r="73" spans="9:9">
      <c r="I73" s="1" t="str">
        <f t="shared" si="1"/>
        <v/>
      </c>
    </row>
    <row r="74" spans="9:9">
      <c r="I74" s="1" t="str">
        <f t="shared" si="1"/>
        <v/>
      </c>
    </row>
    <row r="75" spans="9:9">
      <c r="I75" s="1" t="str">
        <f t="shared" si="1"/>
        <v/>
      </c>
    </row>
    <row r="76" spans="9:9">
      <c r="I76" s="1" t="str">
        <f t="shared" si="1"/>
        <v/>
      </c>
    </row>
    <row r="77" spans="9:9">
      <c r="I77" s="1" t="str">
        <f t="shared" si="1"/>
        <v/>
      </c>
    </row>
    <row r="78" spans="9:9">
      <c r="I78" s="1" t="str">
        <f t="shared" si="1"/>
        <v/>
      </c>
    </row>
    <row r="79" spans="9:9">
      <c r="I79" s="1" t="str">
        <f t="shared" si="1"/>
        <v/>
      </c>
    </row>
    <row r="80" spans="9:9">
      <c r="I80" s="1" t="str">
        <f t="shared" si="1"/>
        <v/>
      </c>
    </row>
    <row r="81" spans="9:9">
      <c r="I81" s="1" t="str">
        <f t="shared" si="1"/>
        <v/>
      </c>
    </row>
    <row r="82" spans="9:9">
      <c r="I82" s="1" t="str">
        <f t="shared" si="1"/>
        <v/>
      </c>
    </row>
    <row r="83" spans="9:9">
      <c r="I83" s="1" t="str">
        <f t="shared" si="1"/>
        <v/>
      </c>
    </row>
    <row r="84" spans="9:9">
      <c r="I84" s="1" t="str">
        <f t="shared" si="1"/>
        <v/>
      </c>
    </row>
    <row r="85" spans="9:9">
      <c r="I85" s="1" t="str">
        <f t="shared" si="1"/>
        <v/>
      </c>
    </row>
    <row r="86" spans="9:9">
      <c r="I86" s="1" t="str">
        <f t="shared" si="1"/>
        <v/>
      </c>
    </row>
    <row r="87" spans="9:9">
      <c r="I87" s="1" t="str">
        <f t="shared" si="1"/>
        <v/>
      </c>
    </row>
    <row r="88" spans="9:9">
      <c r="I88" s="1" t="str">
        <f t="shared" si="1"/>
        <v/>
      </c>
    </row>
    <row r="89" spans="9:9">
      <c r="I89" s="1" t="str">
        <f t="shared" si="1"/>
        <v/>
      </c>
    </row>
    <row r="90" spans="9:9">
      <c r="I90" s="1" t="str">
        <f t="shared" si="1"/>
        <v/>
      </c>
    </row>
    <row r="91" spans="9:9">
      <c r="I91" s="1" t="str">
        <f t="shared" si="1"/>
        <v/>
      </c>
    </row>
    <row r="92" spans="9:9">
      <c r="I92" s="1" t="str">
        <f t="shared" si="1"/>
        <v/>
      </c>
    </row>
    <row r="93" spans="9:9">
      <c r="I93" s="1" t="str">
        <f t="shared" si="1"/>
        <v/>
      </c>
    </row>
    <row r="94" spans="9:9">
      <c r="I94" s="1" t="str">
        <f t="shared" si="1"/>
        <v/>
      </c>
    </row>
    <row r="95" spans="9:9">
      <c r="I95" s="1" t="str">
        <f t="shared" si="1"/>
        <v/>
      </c>
    </row>
    <row r="96" spans="9:9">
      <c r="I96" s="1" t="str">
        <f t="shared" si="1"/>
        <v/>
      </c>
    </row>
    <row r="97" spans="9:9">
      <c r="I97" s="1" t="str">
        <f t="shared" si="1"/>
        <v/>
      </c>
    </row>
    <row r="98" spans="9:9">
      <c r="I98" s="1" t="str">
        <f t="shared" si="1"/>
        <v/>
      </c>
    </row>
    <row r="99" spans="9:9">
      <c r="I99" s="1" t="str">
        <f t="shared" si="1"/>
        <v/>
      </c>
    </row>
    <row r="100" spans="9:9">
      <c r="I100" s="1" t="str">
        <f t="shared" si="1"/>
        <v/>
      </c>
    </row>
    <row r="101" spans="9:9">
      <c r="I101" s="1" t="str">
        <f t="shared" si="1"/>
        <v/>
      </c>
    </row>
    <row r="102" spans="9:9">
      <c r="I102" s="1" t="str">
        <f t="shared" si="1"/>
        <v/>
      </c>
    </row>
    <row r="103" spans="9:9">
      <c r="I103" s="1" t="str">
        <f t="shared" si="1"/>
        <v/>
      </c>
    </row>
    <row r="104" spans="9:9">
      <c r="I104" s="1" t="str">
        <f t="shared" si="1"/>
        <v/>
      </c>
    </row>
    <row r="105" spans="9:9">
      <c r="I105" s="1" t="str">
        <f t="shared" si="1"/>
        <v/>
      </c>
    </row>
    <row r="106" spans="9:9">
      <c r="I106" s="1" t="str">
        <f t="shared" si="1"/>
        <v/>
      </c>
    </row>
    <row r="107" spans="9:9">
      <c r="I107" s="1" t="str">
        <f t="shared" si="1"/>
        <v/>
      </c>
    </row>
    <row r="108" spans="9:9">
      <c r="I108" s="1" t="str">
        <f t="shared" si="1"/>
        <v/>
      </c>
    </row>
    <row r="109" spans="9:9">
      <c r="I109" s="1" t="str">
        <f t="shared" si="1"/>
        <v/>
      </c>
    </row>
    <row r="110" spans="9:9">
      <c r="I110" s="1" t="str">
        <f t="shared" si="1"/>
        <v/>
      </c>
    </row>
    <row r="111" spans="9:9">
      <c r="I111" s="1" t="str">
        <f t="shared" si="1"/>
        <v/>
      </c>
    </row>
    <row r="112" spans="9:9">
      <c r="I112" s="1" t="str">
        <f t="shared" si="1"/>
        <v/>
      </c>
    </row>
    <row r="113" spans="9:9">
      <c r="I113" s="1" t="str">
        <f t="shared" si="1"/>
        <v/>
      </c>
    </row>
    <row r="114" spans="9:9">
      <c r="I114" s="1" t="str">
        <f t="shared" si="1"/>
        <v/>
      </c>
    </row>
    <row r="115" spans="9:9">
      <c r="I115" s="1" t="str">
        <f t="shared" si="1"/>
        <v/>
      </c>
    </row>
    <row r="116" spans="9:9">
      <c r="I116" s="1" t="str">
        <f t="shared" si="1"/>
        <v/>
      </c>
    </row>
    <row r="117" spans="9:9">
      <c r="I117" s="1" t="str">
        <f t="shared" si="1"/>
        <v/>
      </c>
    </row>
    <row r="118" spans="9:9">
      <c r="I118" s="1" t="str">
        <f t="shared" si="1"/>
        <v/>
      </c>
    </row>
    <row r="119" spans="9:9">
      <c r="I119" s="1" t="str">
        <f t="shared" si="1"/>
        <v/>
      </c>
    </row>
    <row r="120" spans="9:9">
      <c r="I120" s="1" t="str">
        <f t="shared" si="1"/>
        <v/>
      </c>
    </row>
    <row r="121" spans="9:9">
      <c r="I121" s="1" t="str">
        <f t="shared" si="1"/>
        <v/>
      </c>
    </row>
    <row r="122" spans="9:9">
      <c r="I122" s="1" t="str">
        <f t="shared" si="1"/>
        <v/>
      </c>
    </row>
    <row r="123" spans="9:9">
      <c r="I123" s="1" t="str">
        <f t="shared" si="1"/>
        <v/>
      </c>
    </row>
    <row r="124" spans="9:9">
      <c r="I124" s="1" t="str">
        <f t="shared" si="1"/>
        <v/>
      </c>
    </row>
    <row r="125" spans="9:9">
      <c r="I125" s="1" t="str">
        <f t="shared" si="1"/>
        <v/>
      </c>
    </row>
    <row r="126" spans="9:9">
      <c r="I126" s="1" t="str">
        <f t="shared" si="1"/>
        <v/>
      </c>
    </row>
    <row r="127" spans="9:9">
      <c r="I127" s="1" t="str">
        <f t="shared" si="1"/>
        <v/>
      </c>
    </row>
    <row r="128" spans="9:9">
      <c r="I128" s="1" t="str">
        <f t="shared" si="1"/>
        <v/>
      </c>
    </row>
    <row r="129" spans="9:9">
      <c r="I129" s="1" t="str">
        <f t="shared" si="1"/>
        <v/>
      </c>
    </row>
    <row r="130" spans="9:9">
      <c r="I130" s="1" t="str">
        <f t="shared" si="1"/>
        <v/>
      </c>
    </row>
    <row r="131" spans="9:9">
      <c r="I131" s="1" t="str">
        <f t="shared" ref="I131:I194" si="2">IF(A131="","",TEXT(A131,"MMMM YYYY"))</f>
        <v/>
      </c>
    </row>
    <row r="132" spans="9:9">
      <c r="I132" s="1" t="str">
        <f t="shared" si="2"/>
        <v/>
      </c>
    </row>
    <row r="133" spans="9:9">
      <c r="I133" s="1" t="str">
        <f t="shared" si="2"/>
        <v/>
      </c>
    </row>
    <row r="134" spans="9:9">
      <c r="I134" s="1" t="str">
        <f t="shared" si="2"/>
        <v/>
      </c>
    </row>
    <row r="135" spans="9:9">
      <c r="I135" s="1" t="str">
        <f t="shared" si="2"/>
        <v/>
      </c>
    </row>
    <row r="136" spans="9:9">
      <c r="I136" s="1" t="str">
        <f t="shared" si="2"/>
        <v/>
      </c>
    </row>
    <row r="137" spans="9:9">
      <c r="I137" s="1" t="str">
        <f t="shared" si="2"/>
        <v/>
      </c>
    </row>
    <row r="138" spans="9:9">
      <c r="I138" s="1" t="str">
        <f t="shared" si="2"/>
        <v/>
      </c>
    </row>
    <row r="139" spans="9:9">
      <c r="I139" s="1" t="str">
        <f t="shared" si="2"/>
        <v/>
      </c>
    </row>
    <row r="140" spans="9:9">
      <c r="I140" s="1" t="str">
        <f t="shared" si="2"/>
        <v/>
      </c>
    </row>
    <row r="141" spans="9:9">
      <c r="I141" s="1" t="str">
        <f t="shared" si="2"/>
        <v/>
      </c>
    </row>
    <row r="142" spans="9:9">
      <c r="I142" s="1" t="str">
        <f t="shared" si="2"/>
        <v/>
      </c>
    </row>
    <row r="143" spans="9:9">
      <c r="I143" s="1" t="str">
        <f t="shared" si="2"/>
        <v/>
      </c>
    </row>
    <row r="144" spans="9:9">
      <c r="I144" s="1" t="str">
        <f t="shared" si="2"/>
        <v/>
      </c>
    </row>
    <row r="145" spans="9:9">
      <c r="I145" s="1" t="str">
        <f t="shared" si="2"/>
        <v/>
      </c>
    </row>
    <row r="146" spans="9:9">
      <c r="I146" s="1" t="str">
        <f t="shared" si="2"/>
        <v/>
      </c>
    </row>
    <row r="147" spans="9:9">
      <c r="I147" s="1" t="str">
        <f t="shared" si="2"/>
        <v/>
      </c>
    </row>
    <row r="148" spans="9:9">
      <c r="I148" s="1" t="str">
        <f t="shared" si="2"/>
        <v/>
      </c>
    </row>
    <row r="149" spans="9:9">
      <c r="I149" s="1" t="str">
        <f t="shared" si="2"/>
        <v/>
      </c>
    </row>
    <row r="150" spans="9:9">
      <c r="I150" s="1" t="str">
        <f t="shared" si="2"/>
        <v/>
      </c>
    </row>
    <row r="151" spans="9:9">
      <c r="I151" s="1" t="str">
        <f t="shared" si="2"/>
        <v/>
      </c>
    </row>
    <row r="152" spans="9:9">
      <c r="I152" s="1" t="str">
        <f t="shared" si="2"/>
        <v/>
      </c>
    </row>
    <row r="153" spans="9:9">
      <c r="I153" s="1" t="str">
        <f t="shared" si="2"/>
        <v/>
      </c>
    </row>
    <row r="154" spans="9:9">
      <c r="I154" s="1" t="str">
        <f t="shared" si="2"/>
        <v/>
      </c>
    </row>
    <row r="155" spans="9:9">
      <c r="I155" s="1" t="str">
        <f t="shared" si="2"/>
        <v/>
      </c>
    </row>
    <row r="156" spans="9:9">
      <c r="I156" s="1" t="str">
        <f t="shared" si="2"/>
        <v/>
      </c>
    </row>
    <row r="157" spans="9:9">
      <c r="I157" s="1" t="str">
        <f t="shared" si="2"/>
        <v/>
      </c>
    </row>
    <row r="158" spans="9:9">
      <c r="I158" s="1" t="str">
        <f t="shared" si="2"/>
        <v/>
      </c>
    </row>
    <row r="159" spans="9:9">
      <c r="I159" s="1" t="str">
        <f t="shared" si="2"/>
        <v/>
      </c>
    </row>
    <row r="160" spans="9:9">
      <c r="I160" s="1" t="str">
        <f t="shared" si="2"/>
        <v/>
      </c>
    </row>
    <row r="161" spans="9:9">
      <c r="I161" s="1" t="str">
        <f t="shared" si="2"/>
        <v/>
      </c>
    </row>
    <row r="162" spans="9:9">
      <c r="I162" s="1" t="str">
        <f t="shared" si="2"/>
        <v/>
      </c>
    </row>
    <row r="163" spans="9:9">
      <c r="I163" s="1" t="str">
        <f t="shared" si="2"/>
        <v/>
      </c>
    </row>
    <row r="164" spans="9:9">
      <c r="I164" s="1" t="str">
        <f t="shared" si="2"/>
        <v/>
      </c>
    </row>
    <row r="165" spans="9:9">
      <c r="I165" s="1" t="str">
        <f t="shared" si="2"/>
        <v/>
      </c>
    </row>
    <row r="166" spans="9:9">
      <c r="I166" s="1" t="str">
        <f t="shared" si="2"/>
        <v/>
      </c>
    </row>
    <row r="167" spans="9:9">
      <c r="I167" s="1" t="str">
        <f t="shared" si="2"/>
        <v/>
      </c>
    </row>
    <row r="168" spans="9:9">
      <c r="I168" s="1" t="str">
        <f t="shared" si="2"/>
        <v/>
      </c>
    </row>
    <row r="169" spans="9:9">
      <c r="I169" s="1" t="str">
        <f t="shared" si="2"/>
        <v/>
      </c>
    </row>
    <row r="170" spans="9:9">
      <c r="I170" s="1" t="str">
        <f t="shared" si="2"/>
        <v/>
      </c>
    </row>
    <row r="171" spans="9:9">
      <c r="I171" s="1" t="str">
        <f t="shared" si="2"/>
        <v/>
      </c>
    </row>
    <row r="172" spans="9:9">
      <c r="I172" s="1" t="str">
        <f t="shared" si="2"/>
        <v/>
      </c>
    </row>
    <row r="173" spans="9:9">
      <c r="I173" s="1" t="str">
        <f t="shared" si="2"/>
        <v/>
      </c>
    </row>
    <row r="174" spans="9:9">
      <c r="I174" s="1" t="str">
        <f t="shared" si="2"/>
        <v/>
      </c>
    </row>
    <row r="175" spans="9:9">
      <c r="I175" s="1" t="str">
        <f t="shared" si="2"/>
        <v/>
      </c>
    </row>
    <row r="176" spans="9:9">
      <c r="I176" s="1" t="str">
        <f t="shared" si="2"/>
        <v/>
      </c>
    </row>
    <row r="177" spans="9:9">
      <c r="I177" s="1" t="str">
        <f t="shared" si="2"/>
        <v/>
      </c>
    </row>
    <row r="178" spans="9:9">
      <c r="I178" s="1" t="str">
        <f t="shared" si="2"/>
        <v/>
      </c>
    </row>
    <row r="179" spans="9:9">
      <c r="I179" s="1" t="str">
        <f t="shared" si="2"/>
        <v/>
      </c>
    </row>
    <row r="180" spans="9:9">
      <c r="I180" s="1" t="str">
        <f t="shared" si="2"/>
        <v/>
      </c>
    </row>
    <row r="181" spans="9:9">
      <c r="I181" s="1" t="str">
        <f t="shared" si="2"/>
        <v/>
      </c>
    </row>
    <row r="182" spans="9:9">
      <c r="I182" s="1" t="str">
        <f t="shared" si="2"/>
        <v/>
      </c>
    </row>
    <row r="183" spans="9:9">
      <c r="I183" s="1" t="str">
        <f t="shared" si="2"/>
        <v/>
      </c>
    </row>
    <row r="184" spans="9:9">
      <c r="I184" s="1" t="str">
        <f t="shared" si="2"/>
        <v/>
      </c>
    </row>
    <row r="185" spans="9:9">
      <c r="I185" s="1" t="str">
        <f t="shared" si="2"/>
        <v/>
      </c>
    </row>
    <row r="186" spans="9:9">
      <c r="I186" s="1" t="str">
        <f t="shared" si="2"/>
        <v/>
      </c>
    </row>
    <row r="187" spans="9:9">
      <c r="I187" s="1" t="str">
        <f t="shared" si="2"/>
        <v/>
      </c>
    </row>
    <row r="188" spans="9:9">
      <c r="I188" s="1" t="str">
        <f t="shared" si="2"/>
        <v/>
      </c>
    </row>
    <row r="189" spans="9:9">
      <c r="I189" s="1" t="str">
        <f t="shared" si="2"/>
        <v/>
      </c>
    </row>
    <row r="190" spans="9:9">
      <c r="I190" s="1" t="str">
        <f t="shared" si="2"/>
        <v/>
      </c>
    </row>
    <row r="191" spans="9:9">
      <c r="I191" s="1" t="str">
        <f t="shared" si="2"/>
        <v/>
      </c>
    </row>
    <row r="192" spans="9:9">
      <c r="I192" s="1" t="str">
        <f t="shared" si="2"/>
        <v/>
      </c>
    </row>
    <row r="193" spans="9:9">
      <c r="I193" s="1" t="str">
        <f t="shared" si="2"/>
        <v/>
      </c>
    </row>
    <row r="194" spans="9:9">
      <c r="I194" s="1" t="str">
        <f t="shared" si="2"/>
        <v/>
      </c>
    </row>
    <row r="195" spans="9:9">
      <c r="I195" s="1" t="str">
        <f t="shared" ref="I195:I258" si="3">IF(A195="","",TEXT(A195,"MMMM YYYY"))</f>
        <v/>
      </c>
    </row>
    <row r="196" spans="9:9">
      <c r="I196" s="1" t="str">
        <f t="shared" si="3"/>
        <v/>
      </c>
    </row>
    <row r="197" spans="9:9">
      <c r="I197" s="1" t="str">
        <f t="shared" si="3"/>
        <v/>
      </c>
    </row>
    <row r="198" spans="9:9">
      <c r="I198" s="1" t="str">
        <f t="shared" si="3"/>
        <v/>
      </c>
    </row>
    <row r="199" spans="9:9">
      <c r="I199" s="1" t="str">
        <f t="shared" si="3"/>
        <v/>
      </c>
    </row>
    <row r="200" spans="9:9">
      <c r="I200" s="1" t="str">
        <f t="shared" si="3"/>
        <v/>
      </c>
    </row>
    <row r="201" spans="9:9">
      <c r="I201" s="1" t="str">
        <f t="shared" si="3"/>
        <v/>
      </c>
    </row>
    <row r="202" spans="9:9">
      <c r="I202" s="1" t="str">
        <f t="shared" si="3"/>
        <v/>
      </c>
    </row>
    <row r="203" spans="9:9">
      <c r="I203" s="1" t="str">
        <f t="shared" si="3"/>
        <v/>
      </c>
    </row>
    <row r="204" spans="9:9">
      <c r="I204" s="1" t="str">
        <f t="shared" si="3"/>
        <v/>
      </c>
    </row>
    <row r="205" spans="9:9">
      <c r="I205" s="1" t="str">
        <f t="shared" si="3"/>
        <v/>
      </c>
    </row>
    <row r="206" spans="9:9">
      <c r="I206" s="1" t="str">
        <f t="shared" si="3"/>
        <v/>
      </c>
    </row>
    <row r="207" spans="9:9">
      <c r="I207" s="1" t="str">
        <f t="shared" si="3"/>
        <v/>
      </c>
    </row>
    <row r="208" spans="9:9">
      <c r="I208" s="1" t="str">
        <f t="shared" si="3"/>
        <v/>
      </c>
    </row>
    <row r="209" spans="9:9">
      <c r="I209" s="1" t="str">
        <f t="shared" si="3"/>
        <v/>
      </c>
    </row>
    <row r="210" spans="9:9">
      <c r="I210" s="1" t="str">
        <f t="shared" si="3"/>
        <v/>
      </c>
    </row>
    <row r="211" spans="9:9">
      <c r="I211" s="1" t="str">
        <f t="shared" si="3"/>
        <v/>
      </c>
    </row>
    <row r="212" spans="9:9">
      <c r="I212" s="1" t="str">
        <f t="shared" si="3"/>
        <v/>
      </c>
    </row>
    <row r="213" spans="9:9">
      <c r="I213" s="1" t="str">
        <f t="shared" si="3"/>
        <v/>
      </c>
    </row>
    <row r="214" spans="9:9">
      <c r="I214" s="1" t="str">
        <f t="shared" si="3"/>
        <v/>
      </c>
    </row>
    <row r="215" spans="9:9">
      <c r="I215" s="1" t="str">
        <f t="shared" si="3"/>
        <v/>
      </c>
    </row>
    <row r="216" spans="9:9">
      <c r="I216" s="1" t="str">
        <f t="shared" si="3"/>
        <v/>
      </c>
    </row>
    <row r="217" spans="9:9">
      <c r="I217" s="1" t="str">
        <f t="shared" si="3"/>
        <v/>
      </c>
    </row>
    <row r="218" spans="9:9">
      <c r="I218" s="1" t="str">
        <f t="shared" si="3"/>
        <v/>
      </c>
    </row>
    <row r="219" spans="9:9">
      <c r="I219" s="1" t="str">
        <f t="shared" si="3"/>
        <v/>
      </c>
    </row>
    <row r="220" spans="9:9">
      <c r="I220" s="1" t="str">
        <f t="shared" si="3"/>
        <v/>
      </c>
    </row>
    <row r="221" spans="9:9">
      <c r="I221" s="1" t="str">
        <f t="shared" si="3"/>
        <v/>
      </c>
    </row>
    <row r="222" spans="9:9">
      <c r="I222" s="1" t="str">
        <f t="shared" si="3"/>
        <v/>
      </c>
    </row>
    <row r="223" spans="9:9">
      <c r="I223" s="1" t="str">
        <f t="shared" si="3"/>
        <v/>
      </c>
    </row>
    <row r="224" spans="9:9">
      <c r="I224" s="1" t="str">
        <f t="shared" si="3"/>
        <v/>
      </c>
    </row>
    <row r="225" spans="9:9">
      <c r="I225" s="1" t="str">
        <f t="shared" si="3"/>
        <v/>
      </c>
    </row>
    <row r="226" spans="9:9">
      <c r="I226" s="1" t="str">
        <f t="shared" si="3"/>
        <v/>
      </c>
    </row>
    <row r="227" spans="9:9">
      <c r="I227" s="1" t="str">
        <f t="shared" si="3"/>
        <v/>
      </c>
    </row>
    <row r="228" spans="9:9">
      <c r="I228" s="1" t="str">
        <f t="shared" si="3"/>
        <v/>
      </c>
    </row>
    <row r="229" spans="9:9">
      <c r="I229" s="1" t="str">
        <f t="shared" si="3"/>
        <v/>
      </c>
    </row>
    <row r="230" spans="9:9">
      <c r="I230" s="1" t="str">
        <f t="shared" si="3"/>
        <v/>
      </c>
    </row>
    <row r="231" spans="9:9">
      <c r="I231" s="1" t="str">
        <f t="shared" si="3"/>
        <v/>
      </c>
    </row>
    <row r="232" spans="9:9">
      <c r="I232" s="1" t="str">
        <f t="shared" si="3"/>
        <v/>
      </c>
    </row>
    <row r="233" spans="9:9">
      <c r="I233" s="1" t="str">
        <f t="shared" si="3"/>
        <v/>
      </c>
    </row>
    <row r="234" spans="9:9">
      <c r="I234" s="1" t="str">
        <f t="shared" si="3"/>
        <v/>
      </c>
    </row>
    <row r="235" spans="9:9">
      <c r="I235" s="1" t="str">
        <f t="shared" si="3"/>
        <v/>
      </c>
    </row>
    <row r="236" spans="9:9">
      <c r="I236" s="1" t="str">
        <f t="shared" si="3"/>
        <v/>
      </c>
    </row>
    <row r="237" spans="9:9">
      <c r="I237" s="1" t="str">
        <f t="shared" si="3"/>
        <v/>
      </c>
    </row>
    <row r="238" spans="9:9">
      <c r="I238" s="1" t="str">
        <f t="shared" si="3"/>
        <v/>
      </c>
    </row>
    <row r="239" spans="9:9">
      <c r="I239" s="1" t="str">
        <f t="shared" si="3"/>
        <v/>
      </c>
    </row>
    <row r="240" spans="9:9">
      <c r="I240" s="1" t="str">
        <f t="shared" si="3"/>
        <v/>
      </c>
    </row>
    <row r="241" spans="9:9">
      <c r="I241" s="1" t="str">
        <f t="shared" si="3"/>
        <v/>
      </c>
    </row>
    <row r="242" spans="9:9">
      <c r="I242" s="1" t="str">
        <f t="shared" si="3"/>
        <v/>
      </c>
    </row>
    <row r="243" spans="9:9">
      <c r="I243" s="1" t="str">
        <f t="shared" si="3"/>
        <v/>
      </c>
    </row>
    <row r="244" spans="9:9">
      <c r="I244" s="1" t="str">
        <f t="shared" si="3"/>
        <v/>
      </c>
    </row>
    <row r="245" spans="9:9">
      <c r="I245" s="1" t="str">
        <f t="shared" si="3"/>
        <v/>
      </c>
    </row>
    <row r="246" spans="9:9">
      <c r="I246" s="1" t="str">
        <f t="shared" si="3"/>
        <v/>
      </c>
    </row>
    <row r="247" spans="9:9">
      <c r="I247" s="1" t="str">
        <f t="shared" si="3"/>
        <v/>
      </c>
    </row>
    <row r="248" spans="9:9">
      <c r="I248" s="1" t="str">
        <f t="shared" si="3"/>
        <v/>
      </c>
    </row>
    <row r="249" spans="9:9">
      <c r="I249" s="1" t="str">
        <f t="shared" si="3"/>
        <v/>
      </c>
    </row>
    <row r="250" spans="9:9">
      <c r="I250" s="1" t="str">
        <f t="shared" si="3"/>
        <v/>
      </c>
    </row>
    <row r="251" spans="9:9">
      <c r="I251" s="1" t="str">
        <f t="shared" si="3"/>
        <v/>
      </c>
    </row>
    <row r="252" spans="9:9">
      <c r="I252" s="1" t="str">
        <f t="shared" si="3"/>
        <v/>
      </c>
    </row>
    <row r="253" spans="9:9">
      <c r="I253" s="1" t="str">
        <f t="shared" si="3"/>
        <v/>
      </c>
    </row>
    <row r="254" spans="9:9">
      <c r="I254" s="1" t="str">
        <f t="shared" si="3"/>
        <v/>
      </c>
    </row>
    <row r="255" spans="9:9">
      <c r="I255" s="1" t="str">
        <f t="shared" si="3"/>
        <v/>
      </c>
    </row>
    <row r="256" spans="9:9">
      <c r="I256" s="1" t="str">
        <f t="shared" si="3"/>
        <v/>
      </c>
    </row>
    <row r="257" spans="9:9">
      <c r="I257" s="1" t="str">
        <f t="shared" si="3"/>
        <v/>
      </c>
    </row>
    <row r="258" spans="9:9">
      <c r="I258" s="1" t="str">
        <f t="shared" si="3"/>
        <v/>
      </c>
    </row>
    <row r="259" spans="9:9">
      <c r="I259" s="1" t="str">
        <f t="shared" ref="I259:I301" si="4">IF(A259="","",TEXT(A259,"MMMM YYYY"))</f>
        <v/>
      </c>
    </row>
    <row r="260" spans="9:9">
      <c r="I260" s="1" t="str">
        <f t="shared" si="4"/>
        <v/>
      </c>
    </row>
    <row r="261" spans="9:9">
      <c r="I261" s="1" t="str">
        <f t="shared" si="4"/>
        <v/>
      </c>
    </row>
    <row r="262" spans="9:9">
      <c r="I262" s="1" t="str">
        <f t="shared" si="4"/>
        <v/>
      </c>
    </row>
    <row r="263" spans="9:9">
      <c r="I263" s="1" t="str">
        <f t="shared" si="4"/>
        <v/>
      </c>
    </row>
    <row r="264" spans="9:9">
      <c r="I264" s="1" t="str">
        <f t="shared" si="4"/>
        <v/>
      </c>
    </row>
    <row r="265" spans="9:9">
      <c r="I265" s="1" t="str">
        <f t="shared" si="4"/>
        <v/>
      </c>
    </row>
    <row r="266" spans="9:9">
      <c r="I266" s="1" t="str">
        <f t="shared" si="4"/>
        <v/>
      </c>
    </row>
    <row r="267" spans="9:9">
      <c r="I267" s="1" t="str">
        <f t="shared" si="4"/>
        <v/>
      </c>
    </row>
    <row r="268" spans="9:9">
      <c r="I268" s="1" t="str">
        <f t="shared" si="4"/>
        <v/>
      </c>
    </row>
    <row r="269" spans="9:9">
      <c r="I269" s="1" t="str">
        <f t="shared" si="4"/>
        <v/>
      </c>
    </row>
    <row r="270" spans="9:9">
      <c r="I270" s="1" t="str">
        <f t="shared" si="4"/>
        <v/>
      </c>
    </row>
    <row r="271" spans="9:9">
      <c r="I271" s="1" t="str">
        <f t="shared" si="4"/>
        <v/>
      </c>
    </row>
    <row r="272" spans="9:9">
      <c r="I272" s="1" t="str">
        <f t="shared" si="4"/>
        <v/>
      </c>
    </row>
    <row r="273" spans="9:9">
      <c r="I273" s="1" t="str">
        <f t="shared" si="4"/>
        <v/>
      </c>
    </row>
    <row r="274" spans="9:9">
      <c r="I274" s="1" t="str">
        <f t="shared" si="4"/>
        <v/>
      </c>
    </row>
    <row r="275" spans="9:9">
      <c r="I275" s="1" t="str">
        <f t="shared" si="4"/>
        <v/>
      </c>
    </row>
    <row r="276" spans="9:9">
      <c r="I276" s="1" t="str">
        <f t="shared" si="4"/>
        <v/>
      </c>
    </row>
    <row r="277" spans="9:9">
      <c r="I277" s="1" t="str">
        <f t="shared" si="4"/>
        <v/>
      </c>
    </row>
    <row r="278" spans="9:9">
      <c r="I278" s="1" t="str">
        <f t="shared" si="4"/>
        <v/>
      </c>
    </row>
    <row r="279" spans="9:9">
      <c r="I279" s="1" t="str">
        <f t="shared" si="4"/>
        <v/>
      </c>
    </row>
    <row r="280" spans="9:9">
      <c r="I280" s="1" t="str">
        <f t="shared" si="4"/>
        <v/>
      </c>
    </row>
    <row r="281" spans="9:9">
      <c r="I281" s="1" t="str">
        <f t="shared" si="4"/>
        <v/>
      </c>
    </row>
    <row r="282" spans="9:9">
      <c r="I282" s="1" t="str">
        <f t="shared" si="4"/>
        <v/>
      </c>
    </row>
    <row r="283" spans="9:9">
      <c r="I283" s="1" t="str">
        <f t="shared" si="4"/>
        <v/>
      </c>
    </row>
    <row r="284" spans="9:9">
      <c r="I284" s="1" t="str">
        <f t="shared" si="4"/>
        <v/>
      </c>
    </row>
    <row r="285" spans="9:9">
      <c r="I285" s="1" t="str">
        <f t="shared" si="4"/>
        <v/>
      </c>
    </row>
    <row r="286" spans="9:9">
      <c r="I286" s="1" t="str">
        <f t="shared" si="4"/>
        <v/>
      </c>
    </row>
    <row r="287" spans="9:9">
      <c r="I287" s="1" t="str">
        <f t="shared" si="4"/>
        <v/>
      </c>
    </row>
    <row r="288" spans="9:9">
      <c r="I288" s="1" t="str">
        <f t="shared" si="4"/>
        <v/>
      </c>
    </row>
    <row r="289" spans="9:9">
      <c r="I289" s="1" t="str">
        <f t="shared" si="4"/>
        <v/>
      </c>
    </row>
    <row r="290" spans="9:9">
      <c r="I290" s="1" t="str">
        <f t="shared" si="4"/>
        <v/>
      </c>
    </row>
    <row r="291" spans="9:9">
      <c r="I291" s="1" t="str">
        <f t="shared" si="4"/>
        <v/>
      </c>
    </row>
    <row r="292" spans="9:9">
      <c r="I292" s="1" t="str">
        <f t="shared" si="4"/>
        <v/>
      </c>
    </row>
    <row r="293" spans="9:9">
      <c r="I293" s="1" t="str">
        <f t="shared" si="4"/>
        <v/>
      </c>
    </row>
    <row r="294" spans="9:9">
      <c r="I294" s="1" t="str">
        <f t="shared" si="4"/>
        <v/>
      </c>
    </row>
    <row r="295" spans="9:9">
      <c r="I295" s="1" t="str">
        <f t="shared" si="4"/>
        <v/>
      </c>
    </row>
    <row r="296" spans="9:9">
      <c r="I296" s="1" t="str">
        <f t="shared" si="4"/>
        <v/>
      </c>
    </row>
    <row r="297" spans="9:9">
      <c r="I297" s="1" t="str">
        <f t="shared" si="4"/>
        <v/>
      </c>
    </row>
    <row r="298" spans="9:9">
      <c r="I298" s="1" t="str">
        <f t="shared" si="4"/>
        <v/>
      </c>
    </row>
    <row r="299" spans="9:9">
      <c r="I299" s="1" t="str">
        <f t="shared" si="4"/>
        <v/>
      </c>
    </row>
    <row r="300" spans="9:9">
      <c r="I300" s="1" t="str">
        <f t="shared" si="4"/>
        <v/>
      </c>
    </row>
    <row r="301" spans="9:9">
      <c r="I301" s="1" t="str">
        <f t="shared" si="4"/>
        <v/>
      </c>
    </row>
    <row r="302" spans="9:9">
      <c r="I302" s="1"/>
    </row>
    <row r="303" spans="9:9">
      <c r="I303" s="1"/>
    </row>
    <row r="304" spans="9:9">
      <c r="I304" s="1"/>
    </row>
    <row r="305" spans="9:9">
      <c r="I305" s="1"/>
    </row>
    <row r="306" spans="9:9">
      <c r="I306" s="1"/>
    </row>
    <row r="307" spans="9:9">
      <c r="I307" s="1"/>
    </row>
    <row r="308" spans="9:9">
      <c r="I308" s="1"/>
    </row>
    <row r="309" spans="9:9">
      <c r="I309" s="1"/>
    </row>
    <row r="310" spans="9:9">
      <c r="I310" s="1"/>
    </row>
    <row r="311" spans="9:9">
      <c r="I311" s="1"/>
    </row>
    <row r="312" spans="9:9">
      <c r="I312" s="1"/>
    </row>
    <row r="313" spans="9:9">
      <c r="I313" s="1"/>
    </row>
    <row r="314" spans="9:9">
      <c r="I314" s="1"/>
    </row>
    <row r="315" spans="9:9">
      <c r="I315" s="1"/>
    </row>
    <row r="316" spans="9:9">
      <c r="I316" s="1"/>
    </row>
    <row r="317" spans="9:9">
      <c r="I317" s="1"/>
    </row>
    <row r="318" spans="9:9">
      <c r="I318" s="1"/>
    </row>
    <row r="319" spans="9:9">
      <c r="I319" s="1"/>
    </row>
    <row r="320" spans="9:9">
      <c r="I320" s="1"/>
    </row>
    <row r="321" spans="9:9">
      <c r="I321" s="1"/>
    </row>
    <row r="322" spans="9:9">
      <c r="I322" s="1"/>
    </row>
    <row r="323" spans="9:9">
      <c r="I323" s="1"/>
    </row>
    <row r="324" spans="9:9">
      <c r="I324" s="1"/>
    </row>
    <row r="325" spans="9:9">
      <c r="I325" s="1"/>
    </row>
    <row r="326" spans="9:9">
      <c r="I326" s="1"/>
    </row>
  </sheetData>
  <dataValidations count="2">
    <dataValidation type="list" allowBlank="1" showInputMessage="1" showErrorMessage="1" sqref="C2:C301" xr:uid="{E2C9998F-D059-4765-AA1C-FC6E1D849A00}">
      <formula1>"Online, In-Person"</formula1>
    </dataValidation>
    <dataValidation type="list" allowBlank="1" showInputMessage="1" showErrorMessage="1" sqref="D2:D301" xr:uid="{069CD6A0-ACEE-4C87-A130-9F19B80E153C}">
      <formula1>"Subscription, Package, Pay as you go"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EF1A-5B34-44AC-892B-DACFF726DD6C}">
  <dimension ref="A1:N26"/>
  <sheetViews>
    <sheetView workbookViewId="0">
      <selection activeCell="B11" sqref="B11"/>
    </sheetView>
  </sheetViews>
  <sheetFormatPr defaultRowHeight="15"/>
  <cols>
    <col min="1" max="1" width="16.140625" bestFit="1" customWidth="1"/>
    <col min="2" max="2" width="33.140625" customWidth="1"/>
    <col min="3" max="3" width="36.5703125" bestFit="1" customWidth="1"/>
    <col min="4" max="4" width="10.5703125" customWidth="1"/>
    <col min="5" max="5" width="12.28515625" bestFit="1" customWidth="1"/>
    <col min="12" max="12" width="0.28515625" customWidth="1"/>
    <col min="13" max="13" width="0" hidden="1" customWidth="1"/>
  </cols>
  <sheetData>
    <row r="1" spans="1:1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1.5">
      <c r="A2" s="6" t="s">
        <v>9</v>
      </c>
      <c r="B2" s="7" cm="1">
        <f t="array" ref="B2">IFERROR(ROWS(_xlfn.UNIQUE(_xlfn._xlws.FILTER(Client_Payments!B2:B1000, LEN(TRIM(Client_Payments!B2:B1000))&gt;0))),0)</f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31.5">
      <c r="A4" s="6" t="s">
        <v>10</v>
      </c>
      <c r="B4" s="7">
        <f>SUM(Client_Payments!E:E)</f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>
      <c r="A5" s="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1.5">
      <c r="A6" s="6" t="s">
        <v>11</v>
      </c>
      <c r="B6" s="7">
        <f>SUMIFS(Client_Payments!E:E,Client_Payments!C:C,"Online")</f>
        <v>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31.5">
      <c r="A7" s="6" t="s">
        <v>12</v>
      </c>
      <c r="B7" s="7">
        <f>SUMIFS(Client_Payments!E:E,Client_Payments!C:C,"In-Person")</f>
        <v>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>
      <c r="A8" s="6"/>
      <c r="B8" s="5"/>
      <c r="C8" s="8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>
      <c r="A9" s="6"/>
      <c r="B9" s="5"/>
      <c r="C9" s="9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>
      <c r="A10" s="6" t="s">
        <v>8</v>
      </c>
      <c r="B10" s="6" t="s">
        <v>13</v>
      </c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>
      <c r="A11" s="10">
        <v>46023</v>
      </c>
      <c r="B11" s="16">
        <f>IFERROR(SUMIFS(Client_Payments!E:E, Client_Payments!I:I, A11),0)</f>
        <v>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>
      <c r="A12" s="10">
        <v>46054</v>
      </c>
      <c r="B12" s="16">
        <f>IFERROR(SUMIFS(Client_Payments!E:E, Client_Payments!I:I, A12),0)</f>
        <v>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>
      <c r="A13" s="10">
        <v>46082</v>
      </c>
      <c r="B13" s="16">
        <f>IFERROR(SUMIFS(Client_Payments!E:E, Client_Payments!I:I, A13),0)</f>
        <v>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10">
        <v>46113</v>
      </c>
      <c r="B14" s="16">
        <f>IFERROR(SUMIFS(Client_Payments!E:E, Client_Payments!I:I, A14),0)</f>
        <v>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>
      <c r="A15" s="10">
        <v>46143</v>
      </c>
      <c r="B15" s="16">
        <f>IFERROR(SUMIFS(Client_Payments!E:E, Client_Payments!I:I, A15),0)</f>
        <v>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>
      <c r="A16" s="10">
        <v>46174</v>
      </c>
      <c r="B16" s="16">
        <f>IFERROR(SUMIFS(Client_Payments!E:E, Client_Payments!I:I, A16),0)</f>
        <v>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>
      <c r="A17" s="10">
        <v>46204</v>
      </c>
      <c r="B17" s="16">
        <f>IFERROR(SUMIFS(Client_Payments!E:E, Client_Payments!I:I, A17),0)</f>
        <v>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>
      <c r="A18" s="10">
        <v>46235</v>
      </c>
      <c r="B18" s="16">
        <f>IFERROR(SUMIFS(Client_Payments!E:E, Client_Payments!I:I, A18),0)</f>
        <v>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30.75">
      <c r="A19" s="10">
        <v>46266</v>
      </c>
      <c r="B19" s="16">
        <f>IFERROR(SUMIFS(Client_Payments!E:E, Client_Payments!I:I, A19),0)</f>
        <v>0</v>
      </c>
      <c r="C19" s="5"/>
      <c r="D19" s="11" t="s">
        <v>2</v>
      </c>
      <c r="E19" s="12" t="s">
        <v>14</v>
      </c>
      <c r="F19" s="5"/>
      <c r="G19" s="5"/>
      <c r="H19" s="5"/>
      <c r="I19" s="5"/>
      <c r="J19" s="5"/>
      <c r="K19" s="5"/>
      <c r="L19" s="5"/>
      <c r="M19" s="5"/>
      <c r="N19" s="5"/>
    </row>
    <row r="20" spans="1:14">
      <c r="A20" s="10">
        <v>46296</v>
      </c>
      <c r="B20" s="16">
        <f>IFERROR(SUMIFS(Client_Payments!E:E, Client_Payments!I:I, A20),0)</f>
        <v>0</v>
      </c>
      <c r="C20" s="5"/>
      <c r="D20" s="13" t="s">
        <v>15</v>
      </c>
      <c r="E20" s="5">
        <f>IF(COUNT(Client_Payments!E2:E1000)=0,0,
SUMIFS(Client_Payments!E:E, Client_Payments!C:C, "Online"))</f>
        <v>0</v>
      </c>
      <c r="F20" s="5"/>
      <c r="G20" s="5"/>
      <c r="H20" s="5"/>
      <c r="I20" s="5"/>
      <c r="J20" s="5"/>
      <c r="K20" s="5"/>
      <c r="L20" s="5"/>
      <c r="M20" s="5"/>
      <c r="N20" s="5"/>
    </row>
    <row r="21" spans="1:14">
      <c r="A21" s="10">
        <v>46327</v>
      </c>
      <c r="B21" s="16">
        <f>IFERROR(SUMIFS(Client_Payments!E:E, Client_Payments!I:I, A21),0)</f>
        <v>0</v>
      </c>
      <c r="C21" s="5"/>
      <c r="D21" s="13" t="s">
        <v>16</v>
      </c>
      <c r="E21" s="5">
        <f>IF(COUNT(Client_Payments!E2:E1000)=0,0,
SUMIFS(Client_Payments!E:E, Client_Payments!C:C, "In-Person"))</f>
        <v>0</v>
      </c>
      <c r="F21" s="5"/>
      <c r="G21" s="5"/>
      <c r="H21" s="5"/>
      <c r="I21" s="5"/>
      <c r="J21" s="5"/>
      <c r="K21" s="5"/>
      <c r="L21" s="5"/>
      <c r="M21" s="5"/>
      <c r="N21" s="5"/>
    </row>
    <row r="22" spans="1:14">
      <c r="A22" s="10">
        <v>46357</v>
      </c>
      <c r="B22" s="16">
        <f>IFERROR(SUMIFS(Client_Payments!E:E, Client_Payments!I:I, A22),0)</f>
        <v>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>
      <c r="A23" s="5"/>
      <c r="B23" s="16">
        <f>IFERROR(SUMIFS(Client_Payments!E:E, Client_Payments!I:I, A23),0)</f>
        <v>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>
      <c r="A24" s="5"/>
      <c r="B24" s="17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2026-01-27T07:32:36Z</dcterms:created>
  <dcterms:modified xsi:type="dcterms:W3CDTF">2026-01-29T10:17:53Z</dcterms:modified>
  <cp:category/>
  <cp:contentStatus/>
</cp:coreProperties>
</file>